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гресс" sheetId="1" state="visible" r:id="rId3"/>
    <sheet name="План" sheetId="2" state="visible" r:id="rId4"/>
  </sheets>
  <definedNames>
    <definedName function="false" hidden="true" localSheetId="1" name="_xlnm._FilterDatabase" vbProcedure="false">План!$A$5:$H$72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<sst xmlns="http://schemas.openxmlformats.org/spreadsheetml/2006/main" count="476" uniqueCount="276">
  <si>
    <t xml:space="preserve">Прогресс выполнения</t>
  </si>
  <si>
    <t xml:space="preserve">Обновляется автоматически из листа «План».</t>
  </si>
  <si>
    <t xml:space="preserve">Статус</t>
  </si>
  <si>
    <t xml:space="preserve">Задач</t>
  </si>
  <si>
    <t xml:space="preserve">Всего задач</t>
  </si>
  <si>
    <t xml:space="preserve">Готово</t>
  </si>
  <si>
    <t xml:space="preserve">В работе</t>
  </si>
  <si>
    <t xml:space="preserve">Не начато</t>
  </si>
  <si>
    <t xml:space="preserve">Снято / отложено</t>
  </si>
  <si>
    <t xml:space="preserve">Критических задач всего</t>
  </si>
  <si>
    <t xml:space="preserve">Критических выполнено</t>
  </si>
  <si>
    <t xml:space="preserve">Готовность, %</t>
  </si>
  <si>
    <t xml:space="preserve">Если делать только три вещи</t>
  </si>
  <si>
    <t xml:space="preserve">1. Залить доработанную implants-ua.html на хостинг — обе языковые версии (задача 1.1)</t>
  </si>
  <si>
    <t xml:space="preserve">2. Google Business Profile до 100% (задача 2.1)</t>
  </si>
  <si>
    <t xml:space="preserve">3. Запустить системный сбор отзывов, цель +15–25 в месяц (задача 2.4)</t>
  </si>
  <si>
    <t xml:space="preserve">Эти три определяют, сдвинутся ли позиции с четвёртой страницы выдачи вообще. Остальное можно двигать по мере сил.</t>
  </si>
  <si>
    <t xml:space="preserve">База для сравнения — GSC, 3 месяца на 15.08.2026</t>
  </si>
  <si>
    <t xml:space="preserve">Страница</t>
  </si>
  <si>
    <t xml:space="preserve">Показы</t>
  </si>
  <si>
    <t xml:space="preserve">Клики</t>
  </si>
  <si>
    <t xml:space="preserve">Позиция</t>
  </si>
  <si>
    <t xml:space="preserve">/blog/implantatsiya-zubiv-povnyi-gayd.html (UA)</t>
  </si>
  <si>
    <t xml:space="preserve">/implants-ua.html (UA)</t>
  </si>
  <si>
    <t xml:space="preserve">/ru/implants-ua.html (RU)</t>
  </si>
  <si>
    <t xml:space="preserve">ИТОГО</t>
  </si>
  <si>
    <t xml:space="preserve">Каннибализации нет: пересечение запросов между этими тремя страницами = 0. Проверено 15.08.2026.</t>
  </si>
  <si>
    <t xml:space="preserve">Harmony Dental Clinic — пошаговый план работ</t>
  </si>
  <si>
    <t xml:space="preserve">Составлен 15.08.2026 по трём источникам: SEO-AUDIT-2026-08, SEO-AUDIT-IMPLANTS-2026-08 и фактическим данным Google Search Console за 3 месяца.</t>
  </si>
  <si>
    <t xml:space="preserve">Порядок блоков — это порядок выполнения. Статус меняется выпадающим списком в колонке H.</t>
  </si>
  <si>
    <t xml:space="preserve">№</t>
  </si>
  <si>
    <t xml:space="preserve">Задача</t>
  </si>
  <si>
    <t xml:space="preserve">Как проверить, что сделано</t>
  </si>
  <si>
    <t xml:space="preserve">Влияние</t>
  </si>
  <si>
    <t xml:space="preserve">Трудоёмкость</t>
  </si>
  <si>
    <t xml:space="preserve">Срок</t>
  </si>
  <si>
    <t xml:space="preserve">Комментарий</t>
  </si>
  <si>
    <t xml:space="preserve">БЛОК 0 — ЧЕГО НЕ ДЕЛАТЬ</t>
  </si>
  <si>
    <t xml:space="preserve">0</t>
  </si>
  <si>
    <t xml:space="preserve">НЕ чистить статью /blog/implantatsiya-zubiv-povnyi-gayd.html: не убирать «Одеса» из title/H1/description, не снимать FAQPage, не вырезать разделы</t>
  </si>
  <si>
    <t xml:space="preserve">Проверено по GSC 15.08.2026: пересечение запросов с обеими страницами услуги = 0, гео-запросов у статьи 0 из 58. Пункты 1–2 плана из SEO-AUDIT-IMPLANTS сняты</t>
  </si>
  <si>
    <t xml:space="preserve">—</t>
  </si>
  <si>
    <t xml:space="preserve">Отменено</t>
  </si>
  <si>
    <t xml:space="preserve">Гипотеза аудита проверена и опровергнута 15.08.2026</t>
  </si>
  <si>
    <t xml:space="preserve">НЕ менять URL (implants-ua.html → implantatsiya-zubiv) до отдельного решения</t>
  </si>
  <si>
    <t xml:space="preserve">Риск просадки на 2–4 недели. Делать только вместе с редизайном структуры и аккуратными 301</t>
  </si>
  <si>
    <t xml:space="preserve">Отложено</t>
  </si>
  <si>
    <t xml:space="preserve">Вернуться при редизайне структуры URL</t>
  </si>
  <si>
    <t xml:space="preserve">БЛОК 1 — НЕМЕДЛЕННО (эта неделя)</t>
  </si>
  <si>
    <t xml:space="preserve">1.1</t>
  </si>
  <si>
    <t xml:space="preserve">Залить доработанную implants-ua.html на хостинг — UA и RU одновременно (обе версии подготовлены)</t>
  </si>
  <si>
    <t xml:space="preserve">curl страницы: объём текста &gt; 2500 слов вместо нынешних 479. Проверить обе версии</t>
  </si>
  <si>
    <t xml:space="preserve">Критическое</t>
  </si>
  <si>
    <t xml:space="preserve">20 мин</t>
  </si>
  <si>
    <t xml:space="preserve">Эта неделя</t>
  </si>
  <si>
    <t xml:space="preserve">Обе версии готовы: UA ~2900 слов, RU 2907 слов. Осталось залить</t>
  </si>
  <si>
    <t xml:space="preserve">1.2</t>
  </si>
  <si>
    <t xml:space="preserve">Обновить lastmod в sitemap.xml для залитых страниц + добавить блоки hreflang xhtml:link для implants-ua.html и /ru/implants-ua.html</t>
  </si>
  <si>
    <t xml:space="preserve">В sitemap.xml у этих двух URL появились xhtml:link, lastmod = дата заливки, а не 2026-06-21</t>
  </si>
  <si>
    <t xml:space="preserve">Среднее</t>
  </si>
  <si>
    <t xml:space="preserve">15 мин</t>
  </si>
  <si>
    <t xml:space="preserve">sitemap пересобран, hreflang у всех 30 URL</t>
  </si>
  <si>
    <t xml:space="preserve">1.3</t>
  </si>
  <si>
    <t xml:space="preserve">Запросить переиндексацию обеих страниц в GSC → Проверка URL → Запросить индексирование</t>
  </si>
  <si>
    <t xml:space="preserve">Статус «URL есть в индексе», дата последнего сканирования свежая</t>
  </si>
  <si>
    <t xml:space="preserve">5 мин</t>
  </si>
  <si>
    <t xml:space="preserve">После 1.1</t>
  </si>
  <si>
    <t xml:space="preserve">1.4</t>
  </si>
  <si>
    <t xml:space="preserve">Усилить гео на страницах имплантации: «Одеса» довести с 8 до 12–15 упоминаний — в H2 и подписи к кейсам</t>
  </si>
  <si>
    <t xml:space="preserve">Подсчёт вхождений «Одеса/Одесса» в тексте страницы</t>
  </si>
  <si>
    <t xml:space="preserve">Высокое</t>
  </si>
  <si>
    <t xml:space="preserve">30 мин</t>
  </si>
  <si>
    <t xml:space="preserve">«Одеса» 9 → 13 в H2 и подписях</t>
  </si>
  <si>
    <t xml:space="preserve">1.5</t>
  </si>
  <si>
    <t xml:space="preserve">Добавить H2 «Ціни на імплантацію зубів в Одесі — вартість під ключ». Слово «ціна» сейчас в тексте 1 раз на 2867 слов</t>
  </si>
  <si>
    <t xml:space="preserve">Поиск «ціна» по видимому тексту даёт минимум 5 вхождений, одно — в H2</t>
  </si>
  <si>
    <t xml:space="preserve">H2 «Ціни на імплантацію зубів в Одесі», «ціна» 1 → 5</t>
  </si>
  <si>
    <t xml:space="preserve">1.6</t>
  </si>
  <si>
    <t xml:space="preserve">Написать «Osstem (Корея)» в блоке брендов — закроет запрос «корейські імпланти» без искажения фактов</t>
  </si>
  <si>
    <t xml:space="preserve">Фраза есть на странице</t>
  </si>
  <si>
    <t xml:space="preserve">Osstem уже был в доработанной версии</t>
  </si>
  <si>
    <t xml:space="preserve">1.7</t>
  </si>
  <si>
    <t xml:space="preserve">Добавить в текст фразу «вставити зуб» / «вставить зуб» — кластер ядра не покрыт, а в GSC есть «вставить зуб цена одесса» (8 показов)</t>
  </si>
  <si>
    <t xml:space="preserve">Фраза есть на обеих языковых версиях</t>
  </si>
  <si>
    <t xml:space="preserve">10 мин</t>
  </si>
  <si>
    <t xml:space="preserve">H2 «якщо вчасно не вставити зуб»</t>
  </si>
  <si>
    <t xml:space="preserve">БЛОК 2 — ЛОКАЛЬНОЕ SEO (с первого дня, постоянно) — именно это решает топ-5 по гео</t>
  </si>
  <si>
    <t xml:space="preserve">2.1</t>
  </si>
  <si>
    <t xml:space="preserve">Google Business Profile до 100%: основная категория «Стоматологическая клиника» + дополнительные, все услуги с ценами, часы, атрибуты</t>
  </si>
  <si>
    <t xml:space="preserve">В GBP нет ни одного незаполненного раздела</t>
  </si>
  <si>
    <t xml:space="preserve">2–3 ч</t>
  </si>
  <si>
    <t xml:space="preserve">2.2</t>
  </si>
  <si>
    <t xml:space="preserve">Ссылки в GBP вести на конкретные страницы услуг, а не только на главную</t>
  </si>
  <si>
    <t xml:space="preserve">У каждой услуги в профиле проставлен свой URL</t>
  </si>
  <si>
    <t xml:space="preserve">2.3</t>
  </si>
  <si>
    <t xml:space="preserve">Загрузить в GBP минимум 30 фото, дальше обновлять ежемесячно</t>
  </si>
  <si>
    <t xml:space="preserve">Счётчик фото в профиле ≥ 30</t>
  </si>
  <si>
    <t xml:space="preserve">1 ч</t>
  </si>
  <si>
    <t xml:space="preserve">2.4</t>
  </si>
  <si>
    <t xml:space="preserve">Запустить процесс сбора отзывов: QR-код в клинике, сообщение пациенту после приёма, ответ клиники на КАЖДЫЙ отзыв. Сейчас 47, у лидеров Одессы 150–400</t>
  </si>
  <si>
    <t xml:space="preserve">Прирост +15–25 отзывов в месяц, доля отвеченных 100%</t>
  </si>
  <si>
    <t xml:space="preserve">Постоянно</t>
  </si>
  <si>
    <t xml:space="preserve">С этой недели</t>
  </si>
  <si>
    <t xml:space="preserve">2.5</t>
  </si>
  <si>
    <t xml:space="preserve">Google Posts — 1–2 публикации в неделю</t>
  </si>
  <si>
    <t xml:space="preserve">В профиле есть публикации за текущую неделю</t>
  </si>
  <si>
    <t xml:space="preserve">20 мин/нед</t>
  </si>
  <si>
    <t xml:space="preserve">2.6</t>
  </si>
  <si>
    <t xml:space="preserve">Регистрация в локальных каталогах с идентичным NAP символ-в-символ («вул. Новаторів, 1А»): dok.ua, doc.ua, likarni.com, 2gis, otzyvua.net</t>
  </si>
  <si>
    <t xml:space="preserve">Минимум 6 каталогов, NAP совпадает во всех</t>
  </si>
  <si>
    <t xml:space="preserve">3–4 ч</t>
  </si>
  <si>
    <t xml:space="preserve">Месяц 1</t>
  </si>
  <si>
    <t xml:space="preserve">БЛОК 3 — ТЕХНИКА (1–2 недели)</t>
  </si>
  <si>
    <t xml:space="preserve">3.1</t>
  </si>
  <si>
    <t xml:space="preserve">Перенести &lt;meta charset="UTF-8"&gt; в самое начало &lt;head&gt;, до всех скриптов, на всех страницах</t>
  </si>
  <si>
    <t xml:space="preserve">Позиция charset &lt; 1024 байта. Сейчас на index.html — байт 2759</t>
  </si>
  <si>
    <t xml:space="preserve">Неделя 1</t>
  </si>
  <si>
    <t xml:space="preserve">32 файла, charset в начало &lt;head&gt;</t>
  </si>
  <si>
    <t xml:space="preserve">3.2</t>
  </si>
  <si>
    <t xml:space="preserve">Добавить charset=utf-8 в заголовок Content-Type на сервере</t>
  </si>
  <si>
    <t xml:space="preserve">curl -I отдаёт Content-Type: text/html; charset=utf-8</t>
  </si>
  <si>
    <t xml:space="preserve">3.3</t>
  </si>
  <si>
    <t xml:space="preserve">Проставить width и height всем изображениям — 272 из 330 без них. Это прямая причина CLS</t>
  </si>
  <si>
    <t xml:space="preserve">Проверка через PageSpeed: CLS в зелёной зоне (&lt; 0.1)</t>
  </si>
  <si>
    <t xml:space="preserve">254 изображения, размеры из самих файлов</t>
  </si>
  <si>
    <t xml:space="preserve">3.4</t>
  </si>
  <si>
    <t xml:space="preserve">Перевести 73 картинки с уже готовыми WebP-дубликатами на &lt;picture&gt;. Конвертировать ничего не надо, файлы на сервере</t>
  </si>
  <si>
    <t xml:space="preserve">Экономия 5.2 МБ. Паттерн уже применён для логотипа — скопировать</t>
  </si>
  <si>
    <t xml:space="preserve">2 ч</t>
  </si>
  <si>
    <t xml:space="preserve">60 изображений переведены на &lt;picture&gt;+WebP</t>
  </si>
  <si>
    <t xml:space="preserve">3.5</t>
  </si>
  <si>
    <t xml:space="preserve">Hero-изображение (images/oleg.jpg): &lt;picture&gt; с WebP, width/height, fetchpriority="high", БЕЗ loading="lazy"</t>
  </si>
  <si>
    <t xml:space="preserve">LCP улучшился в PageSpeed; hero не помечен как lazy</t>
  </si>
  <si>
    <t xml:space="preserve">hero oleg.jpg: WebP, размеры, fetchpriority</t>
  </si>
  <si>
    <t xml:space="preserve">3.6</t>
  </si>
  <si>
    <t xml:space="preserve">Проставить loading="lazy" 104 картинкам ниже первого экрана</t>
  </si>
  <si>
    <t xml:space="preserve">На implants-ua было 11 из 12 без lazy, на hygiene 9 из 10</t>
  </si>
  <si>
    <t xml:space="preserve">44 изображения ниже первого экрана</t>
  </si>
  <si>
    <t xml:space="preserve">3.7</t>
  </si>
  <si>
    <t xml:space="preserve">Пережать в WebP оставшиеся тяжёлые файлы: ot_fayla_k_koronke.jpg (1 МБ), cadcam-dental-workflow.png (701 КБ), doctor-portrait.png (662 КБ), clinic.jpg (627 КБ)</t>
  </si>
  <si>
    <t xml:space="preserve">Ни одного изображения тяжелее 200 КБ</t>
  </si>
  <si>
    <t xml:space="preserve">1–2 ч</t>
  </si>
  <si>
    <t xml:space="preserve">Неделя 2</t>
  </si>
  <si>
    <t xml:space="preserve">3.8</t>
  </si>
  <si>
    <t xml:space="preserve">Перенести схему отложенной загрузки аналитики с index.html на ВСЕ внутренние страницы. Сейчас на них GTM и gtag грузятся синхронно вверху &lt;head&gt;</t>
  </si>
  <si>
    <t xml:space="preserve">На любой внутренней странице GTM не блокирует рендер</t>
  </si>
  <si>
    <t xml:space="preserve">3.9</t>
  </si>
  <si>
    <t xml:space="preserve">Убрать aggregateRating и review с узла Dentist в JSON-LD</t>
  </si>
  <si>
    <t xml:space="preserve">Google не показывает звёзды по самособранным отзывам, риск ручных санкций. Заменить на ссылку на отзывы в GBP</t>
  </si>
  <si>
    <t xml:space="preserve">9 узлов на 6 страницах</t>
  </si>
  <si>
    <t xml:space="preserve">3.10</t>
  </si>
  <si>
    <t xml:space="preserve">Починить битую ссылку images/clinic-bg.jpg на implants-ua.html — файла не существует</t>
  </si>
  <si>
    <t xml:space="preserve">Страница не даёт 404 на этот ресурс</t>
  </si>
  <si>
    <t xml:space="preserve">3.11</t>
  </si>
  <si>
    <t xml:space="preserve">Удалить &lt;meta name="keywords"&gt; — не используется поисковиками с 2009 года</t>
  </si>
  <si>
    <t xml:space="preserve">Тега нет ни на одной странице</t>
  </si>
  <si>
    <t xml:space="preserve">Низкое</t>
  </si>
  <si>
    <t xml:space="preserve">8 файлов</t>
  </si>
  <si>
    <t xml:space="preserve">3.12</t>
  </si>
  <si>
    <t xml:space="preserve">Добавить description и canonical на 404.html и ru/404.html</t>
  </si>
  <si>
    <t xml:space="preserve">Оба тега присутствуют</t>
  </si>
  <si>
    <t xml:space="preserve">404 + ru/404: description, canonical, noindex</t>
  </si>
  <si>
    <t xml:space="preserve">3.13</t>
  </si>
  <si>
    <t xml:space="preserve">Сделать lastmod в sitemap динамическим. Сейчас у всех URL статичный 2026-06-21 — теряется сигнал свежести</t>
  </si>
  <si>
    <t xml:space="preserve">У каждого URL своя дата изменения</t>
  </si>
  <si>
    <t xml:space="preserve">lastmod проставлен по факту</t>
  </si>
  <si>
    <t xml:space="preserve">3.14</t>
  </si>
  <si>
    <t xml:space="preserve">Доступность: 17 аккордеонов на &lt;div onclick&gt; — добавить role="button", tabindex="0", aria-expanded</t>
  </si>
  <si>
    <t xml:space="preserve">FAQ открывается с клавиатуры</t>
  </si>
  <si>
    <t xml:space="preserve">40 мин</t>
  </si>
  <si>
    <t xml:space="preserve">Месяц 2</t>
  </si>
  <si>
    <t xml:space="preserve">3.15</t>
  </si>
  <si>
    <t xml:space="preserve">Вынести инлайн &lt;style&gt; (20 КБ) и &lt;script&gt; (19 КБ) в общие кешируемые файлы</t>
  </si>
  <si>
    <t xml:space="preserve">39 КБ перестали дублироваться на каждой странице</t>
  </si>
  <si>
    <t xml:space="preserve">БЛОК 4 — КОНТЕНТ ДЕНЕЖНЫХ СТРАНИЦ (3–6 недель)</t>
  </si>
  <si>
    <t xml:space="preserve">4.1</t>
  </si>
  <si>
    <t xml:space="preserve">services-ua.html — переделать в настоящий прайс. Сейчас 231 слово, в title обещан прайс, в тексте НОЛЬ цен. Прямое несоответствие title содержанию</t>
  </si>
  <si>
    <t xml:space="preserve">Полная таблица всех услуг в гривнах + разметка OfferCatalog. Объём 1200–1800 слов</t>
  </si>
  <si>
    <t xml:space="preserve">1 день</t>
  </si>
  <si>
    <t xml:space="preserve">Неделя 3</t>
  </si>
  <si>
    <t xml:space="preserve">4.2</t>
  </si>
  <si>
    <t xml:space="preserve">prosthetics-ua.html до 2000–2500 слов: прайс в грн, бренды материалов, этапы, гарантия, 8–10 FAQ, 5+ кейсов до/после</t>
  </si>
  <si>
    <t xml:space="preserve">Подсчёт слов без меню и футера</t>
  </si>
  <si>
    <t xml:space="preserve">Неделя 4</t>
  </si>
  <si>
    <t xml:space="preserve">4.3</t>
  </si>
  <si>
    <t xml:space="preserve">orthodontics-ua.html до 1500–2500 слов (сейчас 716)</t>
  </si>
  <si>
    <t xml:space="preserve">То же</t>
  </si>
  <si>
    <t xml:space="preserve">4.4</t>
  </si>
  <si>
    <t xml:space="preserve">lechenie-ua.html до 1500–2500 слов (сейчас 623)</t>
  </si>
  <si>
    <t xml:space="preserve">Неделя 5</t>
  </si>
  <si>
    <t xml:space="preserve">4.5</t>
  </si>
  <si>
    <t xml:space="preserve">hygiene-ua.html до 1200–1800 слов (сейчас 650)</t>
  </si>
  <si>
    <t xml:space="preserve">4.6</t>
  </si>
  <si>
    <t xml:space="preserve">Главная до 1500+ слов (сейчас 860)</t>
  </si>
  <si>
    <t xml:space="preserve">Неделя 6</t>
  </si>
  <si>
    <t xml:space="preserve">4.7</t>
  </si>
  <si>
    <t xml:space="preserve">Страницы четырёх остальных врачей: Малюкіна Ольга, Швець Олег, Марія Герцик, Кошляк Олександр. Хирург Швець уже упомянут в description страниц имплантации и удаления, но страницы с квалификацией у него нет — удар по E-E-A-T</t>
  </si>
  <si>
    <t xml:space="preserve">4 новые страницы ×2 языка, каждая 1000–1500 слов</t>
  </si>
  <si>
    <t xml:space="preserve">3–4 дня</t>
  </si>
  <si>
    <t xml:space="preserve">Неделя 5–6</t>
  </si>
  <si>
    <t xml:space="preserve">4.8</t>
  </si>
  <si>
    <t xml:space="preserve">Перелинковка на страницу главврача: ссылка из каждой услуги, из каждой статьи блога, из футера. Сейчас 3 входящие при priority 0.95</t>
  </si>
  <si>
    <t xml:space="preserve">Минимум 15 входящих внутренних ссылок</t>
  </si>
  <si>
    <t xml:space="preserve">4.9</t>
  </si>
  <si>
    <t xml:space="preserve">Блок услуг на главную с контекстными анкорами («імплантація зубів в Одесі», «ціни на імплантацію»). Сейчас с главной на имплантацию 1 ссылка — из подвала</t>
  </si>
  <si>
    <t xml:space="preserve">На главной есть блок услуг, у каждой ссылки осмысленный анкор</t>
  </si>
  <si>
    <t xml:space="preserve">4.10</t>
  </si>
  <si>
    <t xml:space="preserve">Рассмотреть выпадающий пункт «Послуги» в главном меню. Сейчас ссылки на страницу имплантации в меню нет вообще</t>
  </si>
  <si>
    <t xml:space="preserve">Пункт меню есть</t>
  </si>
  <si>
    <t xml:space="preserve">БЛОК 5 — НОВЫЕ СТРАНИЦЫ УСЛУГ (2–3 месяца). Каждая ×2 языка. Детали — лист «Нові сторінки» в карте семантики</t>
  </si>
  <si>
    <t xml:space="preserve">5.1</t>
  </si>
  <si>
    <t xml:space="preserve">Создать /prices — Цены и прайс</t>
  </si>
  <si>
    <t xml:space="preserve">Заменяет пустую services-ua.html либо дополняет её. Полная таблица + OfferCatalog</t>
  </si>
  <si>
    <t xml:space="preserve">1–2 дня</t>
  </si>
  <si>
    <t xml:space="preserve">Месяц 2–3</t>
  </si>
  <si>
    <t xml:space="preserve">5.2</t>
  </si>
  <si>
    <t xml:space="preserve">Создать /dytyacha-stomatolohiya — Детская стоматология</t>
  </si>
  <si>
    <t xml:space="preserve">Большой отдельный спрос, сейчас не покрыт вообще</t>
  </si>
  <si>
    <t xml:space="preserve">5.3</t>
  </si>
  <si>
    <t xml:space="preserve">Создать /viniyry — Виниры</t>
  </si>
  <si>
    <t xml:space="preserve">Вынести из prosthetics: на старой странице оставить анонс + ссылку, прайс виниров убрать</t>
  </si>
  <si>
    <t xml:space="preserve">5.4</t>
  </si>
  <si>
    <t xml:space="preserve">Создать /elaynery — Элайнеры / капы</t>
  </si>
  <si>
    <t xml:space="preserve">Вынести из orthodontics по той же схеме</t>
  </si>
  <si>
    <t xml:space="preserve">5.5</t>
  </si>
  <si>
    <t xml:space="preserve">Создать /likuvannya-kanaliv — Лечение каналов</t>
  </si>
  <si>
    <t xml:space="preserve">Вынести из lechenie. Микроскоп, пульпит, периодонтит, перелечивание</t>
  </si>
  <si>
    <t xml:space="preserve">5.6</t>
  </si>
  <si>
    <t xml:space="preserve">Создать /vydalennya-zuba-mudrosti — Зубы мудрости</t>
  </si>
  <si>
    <t xml:space="preserve">Вынести из extraction. Простое / сложное / ретинированный</t>
  </si>
  <si>
    <t xml:space="preserve">5.7</t>
  </si>
  <si>
    <t xml:space="preserve">Создать /all-on-4-odessa — All-on-4 / All-on-6</t>
  </si>
  <si>
    <t xml:space="preserve">Самые дорогие лиды. В GSC уже есть «all on 6 ціна одеса» — 16 показов без своей страницы</t>
  </si>
  <si>
    <t xml:space="preserve">5.8</t>
  </si>
  <si>
    <t xml:space="preserve">Создать /likuvannya-yasen — Пародонтология</t>
  </si>
  <si>
    <t xml:space="preserve">Vector-терапия, кюретаж, стадии пародонтита</t>
  </si>
  <si>
    <t xml:space="preserve">5.9</t>
  </si>
  <si>
    <t xml:space="preserve">Создать /likuvannya-pid-sedatsiyeyu — Седация / во сне</t>
  </si>
  <si>
    <t xml:space="preserve">Виды седации, для детей и для дентофобов</t>
  </si>
  <si>
    <t xml:space="preserve">5.10</t>
  </si>
  <si>
    <t xml:space="preserve">Создать /contacts — Контакты</t>
  </si>
  <si>
    <t xml:space="preserve">Отдельная страница вместо якоря #contacts. NAP, карта, как добраться</t>
  </si>
  <si>
    <t xml:space="preserve">5.11</t>
  </si>
  <si>
    <t xml:space="preserve">Создать /reviews — Отзывы</t>
  </si>
  <si>
    <t xml:space="preserve">Отзывы из GBP через виджет. НЕ размечать aggregateRating</t>
  </si>
  <si>
    <t xml:space="preserve">5.x</t>
  </si>
  <si>
    <t xml:space="preserve">При выносе каждой подтемы — убрать её прайс и H2 со старой страницы, оставить анонс + ссылку с коммерческим анкором</t>
  </si>
  <si>
    <t xml:space="preserve">Это единственное место, где каннибализация реально может возникнуть. Лист «Канібалізація» в карте</t>
  </si>
  <si>
    <t xml:space="preserve">входит в задачу</t>
  </si>
  <si>
    <t xml:space="preserve">При каждом выносе</t>
  </si>
  <si>
    <t xml:space="preserve">БЛОК 6 — БЛОГ (постоянно, 2–4 статьи в месяц)</t>
  </si>
  <si>
    <t xml:space="preserve">6.1</t>
  </si>
  <si>
    <t xml:space="preserve">Возобновить публикации. Последнее обновление — май 2026, три месяца тишины</t>
  </si>
  <si>
    <t xml:space="preserve">Минимум 2 новые статьи в месяц</t>
  </si>
  <si>
    <t xml:space="preserve">С месяца 2</t>
  </si>
  <si>
    <t xml:space="preserve">6.2</t>
  </si>
  <si>
    <t xml:space="preserve">Темы брать только информационные (кластер 11): «болить зуб під коронкою», «брекети чи елайнери», «скільки заживає ясна після видалення», «як доглядати за вінірами», «чому кровоточать ясна», «чутливість зубів»</t>
  </si>
  <si>
    <t xml:space="preserve">Ни одной статьи под коммерческий запрос</t>
  </si>
  <si>
    <t xml:space="preserve">6.3</t>
  </si>
  <si>
    <t xml:space="preserve">Каждая статья ссылается на свою страницу услуги коммерческим анкором. В title/H1 статьи запрещены связки «услуга + Одеса» и «услуга + ціна», гривневых прайсов в статьях нет</t>
  </si>
  <si>
    <t xml:space="preserve">Проверка по листу «Правила» перед публикацией</t>
  </si>
  <si>
    <t xml:space="preserve">БЛОК 7 — КОНТРОЛЬ</t>
  </si>
  <si>
    <t xml:space="preserve">7.1</t>
  </si>
  <si>
    <t xml:space="preserve">Через 3–4 недели после заливки блока 1 — сравнить GSC с базой на листе «GSC факт»</t>
  </si>
  <si>
    <t xml:space="preserve">Выросли показы и позиции по имплантации или нет</t>
  </si>
  <si>
    <t xml:space="preserve">7.2</t>
  </si>
  <si>
    <t xml:space="preserve">Ежемесячно: GSC → Эффективность → фильтр по запросу → вкладка Страницы. Два URL по одному запросу = каннибализация</t>
  </si>
  <si>
    <t xml:space="preserve">20 минут раз в месяц</t>
  </si>
  <si>
    <t xml:space="preserve">20 мин/мес</t>
  </si>
  <si>
    <t xml:space="preserve">7.3</t>
  </si>
  <si>
    <t xml:space="preserve">Настроить Looker Studio (коннектор Search Console, тип URL Impression, параметры Запрос + Целевая страница) — интерфейсный экспорт связку не даёт, а 43% показов анонимизировано</t>
  </si>
  <si>
    <t xml:space="preserve">Отчёт собран, обновляется сам</t>
  </si>
  <si>
    <t xml:space="preserve">7.4</t>
  </si>
  <si>
    <t xml:space="preserve">PageSpeed Insights по mobile до и после блока 3. Ожидаемый эффект +25–40 пунктов, CLS в зелёную зону, LCP −1–2 с</t>
  </si>
  <si>
    <t xml:space="preserve">Скриншоты до/после</t>
  </si>
  <si>
    <t xml:space="preserve">После блока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</si>
</sst>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B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B2C"/>
      <name val="Arial"/>
      <family val="0"/>
      <charset val="1"/>
    </font>
    <font>
      <b val="true"/>
      <sz val="11"/>
      <color rgb="FF1F3B2C"/>
      <name val="Arial"/>
      <family val="0"/>
      <charset val="1"/>
    </font>
    <font>
      <sz val="10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D6E4DA"/>
        <bgColor rgb="FFD9D9D9"/>
      </patternFill>
    </fill>
    <fill>
      <patternFill patternType="solid">
        <fgColor rgb="FFEDEDED"/>
        <bgColor rgb="FFE4F2E4"/>
      </patternFill>
    </fill>
    <fill>
      <patternFill patternType="solid">
        <fgColor rgb="FFFDE0E0"/>
        <bgColor rgb="FFEDEDED"/>
      </patternFill>
    </fill>
    <fill>
      <patternFill patternType="solid">
        <fgColor rgb="FFE4F2E4"/>
        <bgColor rgb="FFEDEDED"/>
      </patternFill>
    </fill>
    <fill>
      <patternFill patternType="solid">
        <fgColor rgb="FFFFF6D5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B2C"/>
          <bgColor rgb="FF000000"/>
        </patternFill>
      </fill>
    </dxf>
    <dxf>
      <fill>
        <patternFill patternType="solid">
          <fgColor rgb="FFD6E4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DE0E0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 patternType="solid">
          <fgColor rgb="FFE4F2E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E4F2E4"/>
        </patternFill>
      </fill>
    </dxf>
    <dxf>
      <fill>
        <patternFill>
          <bgColor rgb="FFFFF6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6D5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DA"/>
      <rgbColor rgb="FFE4F2E4"/>
      <rgbColor rgb="FFFFFF99"/>
      <rgbColor rgb="FF99CCFF"/>
      <rgbColor rgb="FFFF99CC"/>
      <rgbColor rgb="FFCC99FF"/>
      <rgbColor rgb="FFFD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4" min="3" style="1" width="1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n">
        <f aca="false">COUNTA(План!A6:A72)-COUNTBLANK(План!G6:G72)</f>
        <v>59</v>
      </c>
    </row>
    <row r="6" customFormat="false" ht="15" hidden="false" customHeight="true" outlineLevel="0" collapsed="false">
      <c r="A6" s="5" t="s">
        <v>5</v>
      </c>
      <c r="B6" s="6" t="n">
        <f aca="false">COUNTIF(План!G6:G72,"Готово")</f>
        <v>15</v>
      </c>
    </row>
    <row r="7" customFormat="false" ht="15" hidden="false" customHeight="true" outlineLevel="0" collapsed="false">
      <c r="A7" s="5" t="s">
        <v>6</v>
      </c>
      <c r="B7" s="6" t="n">
        <f aca="false">COUNTIF(План!G6:G72,"В работе")</f>
        <v>0</v>
      </c>
    </row>
    <row r="8" customFormat="false" ht="15" hidden="false" customHeight="true" outlineLevel="0" collapsed="false">
      <c r="A8" s="5" t="s">
        <v>7</v>
      </c>
      <c r="B8" s="6" t="n">
        <f aca="false">COUNTIF(План!G6:G72,"Не начато")</f>
        <v>42</v>
      </c>
    </row>
    <row r="9" customFormat="false" ht="15" hidden="false" customHeight="true" outlineLevel="0" collapsed="false">
      <c r="A9" s="5" t="s">
        <v>8</v>
      </c>
      <c r="B9" s="6" t="n">
        <f aca="false">COUNTIF(План!G6:G72,"Отменено")+COUNTIF(План!G6:G72,"Отложено")</f>
        <v>2</v>
      </c>
    </row>
    <row r="10" customFormat="false" ht="15" hidden="false" customHeight="true" outlineLevel="0" collapsed="false">
      <c r="A10" s="7"/>
      <c r="B10" s="8"/>
    </row>
    <row r="11" customFormat="false" ht="15" hidden="false" customHeight="true" outlineLevel="0" collapsed="false">
      <c r="A11" s="5" t="s">
        <v>9</v>
      </c>
      <c r="B11" s="6" t="n">
        <f aca="false">COUNTIF(План!D6:D72,"Критическое")</f>
        <v>9</v>
      </c>
    </row>
    <row r="12" customFormat="false" ht="15" hidden="false" customHeight="true" outlineLevel="0" collapsed="false">
      <c r="A12" s="5" t="s">
        <v>10</v>
      </c>
      <c r="B12" s="6" t="n">
        <f aca="false">COUNTIFS(План!D6:D72,"Критическое",План!G6:G72,"Готово")</f>
        <v>3</v>
      </c>
    </row>
    <row r="13" customFormat="false" ht="15" hidden="false" customHeight="true" outlineLevel="0" collapsed="false">
      <c r="A13" s="7"/>
      <c r="B13" s="8"/>
    </row>
    <row r="14" customFormat="false" ht="15" hidden="false" customHeight="true" outlineLevel="0" collapsed="false">
      <c r="A14" s="5" t="s">
        <v>11</v>
      </c>
      <c r="B14" s="9" t="n">
        <f aca="false">IFERROR(B6/(B5-B9),0)</f>
        <v>0.263157894736842</v>
      </c>
    </row>
    <row r="15" customFormat="false" ht="15" hidden="false" customHeight="true" outlineLevel="0" collapsed="false">
      <c r="A15" s="7"/>
      <c r="B15" s="8"/>
    </row>
    <row r="17" customFormat="false" ht="15" hidden="false" customHeight="true" outlineLevel="0" collapsed="false">
      <c r="A17" s="10" t="s">
        <v>12</v>
      </c>
    </row>
    <row r="18" customFormat="false" ht="34.5" hidden="false" customHeight="true" outlineLevel="0" collapsed="false">
      <c r="A18" s="11" t="s">
        <v>13</v>
      </c>
    </row>
    <row r="19" customFormat="false" ht="23.25" hidden="false" customHeight="true" outlineLevel="0" collapsed="false">
      <c r="A19" s="11" t="s">
        <v>14</v>
      </c>
    </row>
    <row r="20" customFormat="false" ht="23.25" hidden="false" customHeight="true" outlineLevel="0" collapsed="false">
      <c r="A20" s="11" t="s">
        <v>15</v>
      </c>
    </row>
    <row r="22" customFormat="false" ht="42.75" hidden="false" customHeight="true" outlineLevel="0" collapsed="false">
      <c r="A22" s="12" t="s">
        <v>16</v>
      </c>
    </row>
    <row r="24" customFormat="false" ht="15" hidden="false" customHeight="true" outlineLevel="0" collapsed="false">
      <c r="A24" s="10" t="s">
        <v>17</v>
      </c>
    </row>
    <row r="25" customFormat="false" ht="15" hidden="false" customHeight="true" outlineLevel="0" collapsed="false">
      <c r="A25" s="13" t="s">
        <v>18</v>
      </c>
      <c r="B25" s="14" t="s">
        <v>19</v>
      </c>
      <c r="C25" s="14" t="s">
        <v>20</v>
      </c>
      <c r="D25" s="14" t="s">
        <v>21</v>
      </c>
    </row>
    <row r="26" customFormat="false" ht="15" hidden="false" customHeight="true" outlineLevel="0" collapsed="false">
      <c r="A26" s="15" t="s">
        <v>22</v>
      </c>
      <c r="B26" s="16" t="n">
        <v>623</v>
      </c>
      <c r="C26" s="16" t="n">
        <v>0</v>
      </c>
      <c r="D26" s="16" t="n">
        <v>44.46</v>
      </c>
    </row>
    <row r="27" customFormat="false" ht="15" hidden="false" customHeight="true" outlineLevel="0" collapsed="false">
      <c r="A27" s="15" t="s">
        <v>23</v>
      </c>
      <c r="B27" s="16" t="n">
        <v>207</v>
      </c>
      <c r="C27" s="16" t="n">
        <v>0</v>
      </c>
      <c r="D27" s="16" t="n">
        <v>33.17</v>
      </c>
    </row>
    <row r="28" customFormat="false" ht="15" hidden="false" customHeight="true" outlineLevel="0" collapsed="false">
      <c r="A28" s="15" t="s">
        <v>24</v>
      </c>
      <c r="B28" s="16" t="n">
        <v>680</v>
      </c>
      <c r="C28" s="16" t="n">
        <v>14</v>
      </c>
      <c r="D28" s="16" t="n">
        <v>40.95</v>
      </c>
    </row>
    <row r="29" customFormat="false" ht="15" hidden="false" customHeight="true" outlineLevel="0" collapsed="false">
      <c r="A29" s="17" t="s">
        <v>25</v>
      </c>
      <c r="B29" s="6" t="n">
        <f aca="false">SUM(B26:B28)</f>
        <v>1510</v>
      </c>
      <c r="C29" s="6" t="n">
        <f aca="false">SUM(C26:C28)</f>
        <v>14</v>
      </c>
      <c r="D29" s="6"/>
    </row>
    <row r="30" customFormat="false" ht="15" hidden="false" customHeight="true" outlineLevel="0" collapsed="false">
      <c r="A30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2"/>
    <col collapsed="false" customWidth="true" hidden="false" outlineLevel="0" max="3" min="3" style="1" width="58"/>
    <col collapsed="false" customWidth="true" hidden="false" outlineLevel="0" max="6" min="4" style="1" width="14"/>
    <col collapsed="false" customWidth="true" hidden="false" outlineLevel="0" max="7" min="7" style="1" width="13"/>
    <col collapsed="false" customWidth="true" hidden="false" outlineLevel="0" max="8" min="8" style="1" width="26"/>
  </cols>
  <sheetData>
    <row r="1" customFormat="false" ht="18" hidden="false" customHeight="true" outlineLevel="0" collapsed="false">
      <c r="A1" s="2" t="s">
        <v>27</v>
      </c>
    </row>
    <row r="2" customFormat="false" ht="15" hidden="false" customHeight="true" outlineLevel="0" collapsed="false">
      <c r="A2" s="3" t="s">
        <v>28</v>
      </c>
    </row>
    <row r="3" customFormat="false" ht="15" hidden="false" customHeight="true" outlineLevel="0" collapsed="false">
      <c r="A3" s="3" t="s">
        <v>29</v>
      </c>
    </row>
    <row r="5" customFormat="false" ht="31.5" hidden="false" customHeight="true" outlineLevel="0" collapsed="false">
      <c r="A5" s="18" t="s">
        <v>30</v>
      </c>
      <c r="B5" s="18" t="s">
        <v>31</v>
      </c>
      <c r="C5" s="18" t="s">
        <v>32</v>
      </c>
      <c r="D5" s="18" t="s">
        <v>33</v>
      </c>
      <c r="E5" s="18" t="s">
        <v>34</v>
      </c>
      <c r="F5" s="18" t="s">
        <v>35</v>
      </c>
      <c r="G5" s="18" t="s">
        <v>2</v>
      </c>
      <c r="H5" s="18" t="s">
        <v>36</v>
      </c>
    </row>
    <row r="6" customFormat="false" ht="24" hidden="false" customHeight="true" outlineLevel="0" collapsed="false">
      <c r="A6" s="19" t="s">
        <v>37</v>
      </c>
      <c r="B6" s="19"/>
      <c r="C6" s="19"/>
      <c r="D6" s="19"/>
      <c r="E6" s="19"/>
      <c r="F6" s="19"/>
      <c r="G6" s="19"/>
      <c r="H6" s="19"/>
    </row>
    <row r="7" customFormat="false" ht="34.5" hidden="false" customHeight="true" outlineLevel="0" collapsed="false">
      <c r="A7" s="20" t="s">
        <v>38</v>
      </c>
      <c r="B7" s="21" t="s">
        <v>39</v>
      </c>
      <c r="C7" s="21" t="s">
        <v>40</v>
      </c>
      <c r="D7" s="20" t="s">
        <v>41</v>
      </c>
      <c r="E7" s="20" t="s">
        <v>38</v>
      </c>
      <c r="F7" s="20" t="s">
        <v>41</v>
      </c>
      <c r="G7" s="22" t="s">
        <v>42</v>
      </c>
      <c r="H7" s="21" t="s">
        <v>43</v>
      </c>
    </row>
    <row r="8" customFormat="false" ht="23.25" hidden="false" customHeight="true" outlineLevel="0" collapsed="false">
      <c r="A8" s="20" t="s">
        <v>38</v>
      </c>
      <c r="B8" s="21" t="s">
        <v>44</v>
      </c>
      <c r="C8" s="21" t="s">
        <v>45</v>
      </c>
      <c r="D8" s="20" t="s">
        <v>41</v>
      </c>
      <c r="E8" s="20" t="s">
        <v>38</v>
      </c>
      <c r="F8" s="20" t="s">
        <v>41</v>
      </c>
      <c r="G8" s="22" t="s">
        <v>46</v>
      </c>
      <c r="H8" s="21" t="s">
        <v>47</v>
      </c>
    </row>
    <row r="9" customFormat="false" ht="24" hidden="false" customHeight="true" outlineLevel="0" collapsed="false">
      <c r="A9" s="19" t="s">
        <v>48</v>
      </c>
      <c r="B9" s="19"/>
      <c r="C9" s="19"/>
      <c r="D9" s="19"/>
      <c r="E9" s="19"/>
      <c r="F9" s="19"/>
      <c r="G9" s="19"/>
      <c r="H9" s="19"/>
    </row>
    <row r="10" customFormat="false" ht="23.25" hidden="false" customHeight="true" outlineLevel="0" collapsed="false">
      <c r="A10" s="23" t="s">
        <v>49</v>
      </c>
      <c r="B10" s="24" t="s">
        <v>50</v>
      </c>
      <c r="C10" s="24" t="s">
        <v>51</v>
      </c>
      <c r="D10" s="25" t="s">
        <v>52</v>
      </c>
      <c r="E10" s="23" t="s">
        <v>53</v>
      </c>
      <c r="F10" s="23" t="s">
        <v>54</v>
      </c>
      <c r="G10" s="26" t="s">
        <v>5</v>
      </c>
      <c r="H10" s="24" t="s">
        <v>55</v>
      </c>
    </row>
    <row r="11" customFormat="false" ht="23.25" hidden="false" customHeight="true" outlineLevel="0" collapsed="false">
      <c r="A11" s="23" t="s">
        <v>56</v>
      </c>
      <c r="B11" s="24" t="s">
        <v>57</v>
      </c>
      <c r="C11" s="24" t="s">
        <v>58</v>
      </c>
      <c r="D11" s="23" t="s">
        <v>59</v>
      </c>
      <c r="E11" s="23" t="s">
        <v>60</v>
      </c>
      <c r="F11" s="23" t="s">
        <v>54</v>
      </c>
      <c r="G11" s="26" t="s">
        <v>5</v>
      </c>
      <c r="H11" s="24" t="s">
        <v>61</v>
      </c>
    </row>
    <row r="12" customFormat="false" ht="23.25" hidden="false" customHeight="true" outlineLevel="0" collapsed="false">
      <c r="A12" s="23" t="s">
        <v>62</v>
      </c>
      <c r="B12" s="24" t="s">
        <v>63</v>
      </c>
      <c r="C12" s="24" t="s">
        <v>64</v>
      </c>
      <c r="D12" s="23" t="s">
        <v>59</v>
      </c>
      <c r="E12" s="23" t="s">
        <v>65</v>
      </c>
      <c r="F12" s="23" t="s">
        <v>66</v>
      </c>
      <c r="G12" s="23" t="s">
        <v>7</v>
      </c>
      <c r="H12" s="24"/>
    </row>
    <row r="13" customFormat="false" ht="23.25" hidden="false" customHeight="true" outlineLevel="0" collapsed="false">
      <c r="A13" s="23" t="s">
        <v>67</v>
      </c>
      <c r="B13" s="24" t="s">
        <v>68</v>
      </c>
      <c r="C13" s="24" t="s">
        <v>69</v>
      </c>
      <c r="D13" s="27" t="s">
        <v>70</v>
      </c>
      <c r="E13" s="23" t="s">
        <v>71</v>
      </c>
      <c r="F13" s="23" t="s">
        <v>54</v>
      </c>
      <c r="G13" s="26" t="s">
        <v>5</v>
      </c>
      <c r="H13" s="24" t="s">
        <v>72</v>
      </c>
    </row>
    <row r="14" customFormat="false" ht="23.25" hidden="false" customHeight="true" outlineLevel="0" collapsed="false">
      <c r="A14" s="23" t="s">
        <v>73</v>
      </c>
      <c r="B14" s="24" t="s">
        <v>74</v>
      </c>
      <c r="C14" s="24" t="s">
        <v>75</v>
      </c>
      <c r="D14" s="27" t="s">
        <v>70</v>
      </c>
      <c r="E14" s="23" t="s">
        <v>60</v>
      </c>
      <c r="F14" s="23" t="s">
        <v>54</v>
      </c>
      <c r="G14" s="26" t="s">
        <v>5</v>
      </c>
      <c r="H14" s="24" t="s">
        <v>76</v>
      </c>
    </row>
    <row r="15" customFormat="false" ht="23.25" hidden="false" customHeight="true" outlineLevel="0" collapsed="false">
      <c r="A15" s="23" t="s">
        <v>77</v>
      </c>
      <c r="B15" s="24" t="s">
        <v>78</v>
      </c>
      <c r="C15" s="24" t="s">
        <v>79</v>
      </c>
      <c r="D15" s="23" t="s">
        <v>59</v>
      </c>
      <c r="E15" s="23" t="s">
        <v>65</v>
      </c>
      <c r="F15" s="23" t="s">
        <v>54</v>
      </c>
      <c r="G15" s="26" t="s">
        <v>5</v>
      </c>
      <c r="H15" s="24" t="s">
        <v>80</v>
      </c>
    </row>
    <row r="16" customFormat="false" ht="23.25" hidden="false" customHeight="true" outlineLevel="0" collapsed="false">
      <c r="A16" s="23" t="s">
        <v>81</v>
      </c>
      <c r="B16" s="24" t="s">
        <v>82</v>
      </c>
      <c r="C16" s="24" t="s">
        <v>83</v>
      </c>
      <c r="D16" s="23" t="s">
        <v>59</v>
      </c>
      <c r="E16" s="23" t="s">
        <v>84</v>
      </c>
      <c r="F16" s="23" t="s">
        <v>54</v>
      </c>
      <c r="G16" s="26" t="s">
        <v>5</v>
      </c>
      <c r="H16" s="24" t="s">
        <v>85</v>
      </c>
    </row>
    <row r="17" customFormat="false" ht="24" hidden="false" customHeight="true" outlineLevel="0" collapsed="false">
      <c r="A17" s="19" t="s">
        <v>86</v>
      </c>
      <c r="B17" s="19"/>
      <c r="C17" s="19"/>
      <c r="D17" s="19"/>
      <c r="E17" s="19"/>
      <c r="F17" s="19"/>
      <c r="G17" s="19"/>
      <c r="H17" s="19"/>
    </row>
    <row r="18" customFormat="false" ht="34.5" hidden="false" customHeight="true" outlineLevel="0" collapsed="false">
      <c r="A18" s="23" t="s">
        <v>87</v>
      </c>
      <c r="B18" s="24" t="s">
        <v>88</v>
      </c>
      <c r="C18" s="24" t="s">
        <v>89</v>
      </c>
      <c r="D18" s="25" t="s">
        <v>52</v>
      </c>
      <c r="E18" s="23" t="s">
        <v>90</v>
      </c>
      <c r="F18" s="23" t="s">
        <v>54</v>
      </c>
      <c r="G18" s="23" t="s">
        <v>7</v>
      </c>
      <c r="H18" s="24"/>
    </row>
    <row r="19" customFormat="false" ht="23.25" hidden="false" customHeight="true" outlineLevel="0" collapsed="false">
      <c r="A19" s="23" t="s">
        <v>91</v>
      </c>
      <c r="B19" s="24" t="s">
        <v>92</v>
      </c>
      <c r="C19" s="24" t="s">
        <v>93</v>
      </c>
      <c r="D19" s="27" t="s">
        <v>70</v>
      </c>
      <c r="E19" s="23" t="s">
        <v>71</v>
      </c>
      <c r="F19" s="23" t="s">
        <v>54</v>
      </c>
      <c r="G19" s="23" t="s">
        <v>7</v>
      </c>
      <c r="H19" s="24"/>
    </row>
    <row r="20" customFormat="false" ht="15" hidden="false" customHeight="true" outlineLevel="0" collapsed="false">
      <c r="A20" s="23" t="s">
        <v>94</v>
      </c>
      <c r="B20" s="24" t="s">
        <v>95</v>
      </c>
      <c r="C20" s="24" t="s">
        <v>96</v>
      </c>
      <c r="D20" s="27" t="s">
        <v>70</v>
      </c>
      <c r="E20" s="23" t="s">
        <v>97</v>
      </c>
      <c r="F20" s="23" t="s">
        <v>54</v>
      </c>
      <c r="G20" s="23" t="s">
        <v>7</v>
      </c>
      <c r="H20" s="24"/>
    </row>
    <row r="21" customFormat="false" ht="34.5" hidden="false" customHeight="true" outlineLevel="0" collapsed="false">
      <c r="A21" s="23" t="s">
        <v>98</v>
      </c>
      <c r="B21" s="24" t="s">
        <v>99</v>
      </c>
      <c r="C21" s="24" t="s">
        <v>100</v>
      </c>
      <c r="D21" s="25" t="s">
        <v>52</v>
      </c>
      <c r="E21" s="23" t="s">
        <v>101</v>
      </c>
      <c r="F21" s="23" t="s">
        <v>102</v>
      </c>
      <c r="G21" s="23" t="s">
        <v>7</v>
      </c>
      <c r="H21" s="24"/>
    </row>
    <row r="22" customFormat="false" ht="15" hidden="false" customHeight="true" outlineLevel="0" collapsed="false">
      <c r="A22" s="23" t="s">
        <v>103</v>
      </c>
      <c r="B22" s="24" t="s">
        <v>104</v>
      </c>
      <c r="C22" s="24" t="s">
        <v>105</v>
      </c>
      <c r="D22" s="23" t="s">
        <v>59</v>
      </c>
      <c r="E22" s="23" t="s">
        <v>106</v>
      </c>
      <c r="F22" s="23" t="s">
        <v>101</v>
      </c>
      <c r="G22" s="23" t="s">
        <v>7</v>
      </c>
      <c r="H22" s="24"/>
    </row>
    <row r="23" customFormat="false" ht="34.5" hidden="false" customHeight="true" outlineLevel="0" collapsed="false">
      <c r="A23" s="23" t="s">
        <v>107</v>
      </c>
      <c r="B23" s="24" t="s">
        <v>108</v>
      </c>
      <c r="C23" s="24" t="s">
        <v>109</v>
      </c>
      <c r="D23" s="27" t="s">
        <v>70</v>
      </c>
      <c r="E23" s="23" t="s">
        <v>110</v>
      </c>
      <c r="F23" s="23" t="s">
        <v>111</v>
      </c>
      <c r="G23" s="23" t="s">
        <v>7</v>
      </c>
      <c r="H23" s="24"/>
    </row>
    <row r="24" customFormat="false" ht="24" hidden="false" customHeight="true" outlineLevel="0" collapsed="false">
      <c r="A24" s="19" t="s">
        <v>112</v>
      </c>
      <c r="B24" s="19"/>
      <c r="C24" s="19"/>
      <c r="D24" s="19"/>
      <c r="E24" s="19"/>
      <c r="F24" s="19"/>
      <c r="G24" s="19"/>
      <c r="H24" s="19"/>
    </row>
    <row r="25" customFormat="false" ht="23.25" hidden="false" customHeight="true" outlineLevel="0" collapsed="false">
      <c r="A25" s="23" t="s">
        <v>113</v>
      </c>
      <c r="B25" s="24" t="s">
        <v>114</v>
      </c>
      <c r="C25" s="24" t="s">
        <v>115</v>
      </c>
      <c r="D25" s="27" t="s">
        <v>70</v>
      </c>
      <c r="E25" s="23" t="s">
        <v>97</v>
      </c>
      <c r="F25" s="23" t="s">
        <v>116</v>
      </c>
      <c r="G25" s="26" t="s">
        <v>5</v>
      </c>
      <c r="H25" s="24" t="s">
        <v>117</v>
      </c>
    </row>
    <row r="26" customFormat="false" ht="15" hidden="false" customHeight="true" outlineLevel="0" collapsed="false">
      <c r="A26" s="23" t="s">
        <v>118</v>
      </c>
      <c r="B26" s="24" t="s">
        <v>119</v>
      </c>
      <c r="C26" s="24" t="s">
        <v>120</v>
      </c>
      <c r="D26" s="23" t="s">
        <v>59</v>
      </c>
      <c r="E26" s="23" t="s">
        <v>84</v>
      </c>
      <c r="F26" s="23" t="s">
        <v>116</v>
      </c>
      <c r="G26" s="23" t="s">
        <v>7</v>
      </c>
      <c r="H26" s="24"/>
    </row>
    <row r="27" customFormat="false" ht="23.25" hidden="false" customHeight="true" outlineLevel="0" collapsed="false">
      <c r="A27" s="23" t="s">
        <v>121</v>
      </c>
      <c r="B27" s="24" t="s">
        <v>122</v>
      </c>
      <c r="C27" s="24" t="s">
        <v>123</v>
      </c>
      <c r="D27" s="25" t="s">
        <v>52</v>
      </c>
      <c r="E27" s="23" t="s">
        <v>90</v>
      </c>
      <c r="F27" s="23" t="s">
        <v>116</v>
      </c>
      <c r="G27" s="26" t="s">
        <v>5</v>
      </c>
      <c r="H27" s="24" t="s">
        <v>124</v>
      </c>
    </row>
    <row r="28" customFormat="false" ht="23.25" hidden="false" customHeight="true" outlineLevel="0" collapsed="false">
      <c r="A28" s="23" t="s">
        <v>125</v>
      </c>
      <c r="B28" s="24" t="s">
        <v>126</v>
      </c>
      <c r="C28" s="24" t="s">
        <v>127</v>
      </c>
      <c r="D28" s="25" t="s">
        <v>52</v>
      </c>
      <c r="E28" s="23" t="s">
        <v>128</v>
      </c>
      <c r="F28" s="23" t="s">
        <v>116</v>
      </c>
      <c r="G28" s="26" t="s">
        <v>5</v>
      </c>
      <c r="H28" s="24" t="s">
        <v>129</v>
      </c>
    </row>
    <row r="29" customFormat="false" ht="23.25" hidden="false" customHeight="true" outlineLevel="0" collapsed="false">
      <c r="A29" s="23" t="s">
        <v>130</v>
      </c>
      <c r="B29" s="24" t="s">
        <v>131</v>
      </c>
      <c r="C29" s="24" t="s">
        <v>132</v>
      </c>
      <c r="D29" s="27" t="s">
        <v>70</v>
      </c>
      <c r="E29" s="23" t="s">
        <v>84</v>
      </c>
      <c r="F29" s="23" t="s">
        <v>116</v>
      </c>
      <c r="G29" s="26" t="s">
        <v>5</v>
      </c>
      <c r="H29" s="24" t="s">
        <v>133</v>
      </c>
    </row>
    <row r="30" customFormat="false" ht="15" hidden="false" customHeight="true" outlineLevel="0" collapsed="false">
      <c r="A30" s="23" t="s">
        <v>134</v>
      </c>
      <c r="B30" s="24" t="s">
        <v>135</v>
      </c>
      <c r="C30" s="24" t="s">
        <v>136</v>
      </c>
      <c r="D30" s="27" t="s">
        <v>70</v>
      </c>
      <c r="E30" s="23" t="s">
        <v>97</v>
      </c>
      <c r="F30" s="23" t="s">
        <v>116</v>
      </c>
      <c r="G30" s="26" t="s">
        <v>5</v>
      </c>
      <c r="H30" s="24" t="s">
        <v>137</v>
      </c>
    </row>
    <row r="31" customFormat="false" ht="34.5" hidden="false" customHeight="true" outlineLevel="0" collapsed="false">
      <c r="A31" s="23" t="s">
        <v>138</v>
      </c>
      <c r="B31" s="24" t="s">
        <v>139</v>
      </c>
      <c r="C31" s="24" t="s">
        <v>140</v>
      </c>
      <c r="D31" s="27" t="s">
        <v>70</v>
      </c>
      <c r="E31" s="23" t="s">
        <v>141</v>
      </c>
      <c r="F31" s="23" t="s">
        <v>142</v>
      </c>
      <c r="G31" s="23" t="s">
        <v>7</v>
      </c>
      <c r="H31" s="24"/>
    </row>
    <row r="32" customFormat="false" ht="34.5" hidden="false" customHeight="true" outlineLevel="0" collapsed="false">
      <c r="A32" s="23" t="s">
        <v>143</v>
      </c>
      <c r="B32" s="24" t="s">
        <v>144</v>
      </c>
      <c r="C32" s="24" t="s">
        <v>145</v>
      </c>
      <c r="D32" s="25" t="s">
        <v>52</v>
      </c>
      <c r="E32" s="23" t="s">
        <v>128</v>
      </c>
      <c r="F32" s="23" t="s">
        <v>142</v>
      </c>
      <c r="G32" s="23" t="s">
        <v>7</v>
      </c>
      <c r="H32" s="24"/>
    </row>
    <row r="33" customFormat="false" ht="23.25" hidden="false" customHeight="true" outlineLevel="0" collapsed="false">
      <c r="A33" s="23" t="s">
        <v>146</v>
      </c>
      <c r="B33" s="24" t="s">
        <v>147</v>
      </c>
      <c r="C33" s="24" t="s">
        <v>148</v>
      </c>
      <c r="D33" s="27" t="s">
        <v>70</v>
      </c>
      <c r="E33" s="23" t="s">
        <v>53</v>
      </c>
      <c r="F33" s="23" t="s">
        <v>116</v>
      </c>
      <c r="G33" s="26" t="s">
        <v>5</v>
      </c>
      <c r="H33" s="24" t="s">
        <v>149</v>
      </c>
    </row>
    <row r="34" customFormat="false" ht="23.25" hidden="false" customHeight="true" outlineLevel="0" collapsed="false">
      <c r="A34" s="23" t="s">
        <v>150</v>
      </c>
      <c r="B34" s="24" t="s">
        <v>151</v>
      </c>
      <c r="C34" s="24" t="s">
        <v>152</v>
      </c>
      <c r="D34" s="23" t="s">
        <v>59</v>
      </c>
      <c r="E34" s="23" t="s">
        <v>65</v>
      </c>
      <c r="F34" s="23" t="s">
        <v>116</v>
      </c>
      <c r="G34" s="23" t="s">
        <v>7</v>
      </c>
      <c r="H34" s="24"/>
    </row>
    <row r="35" customFormat="false" ht="23.25" hidden="false" customHeight="true" outlineLevel="0" collapsed="false">
      <c r="A35" s="23" t="s">
        <v>153</v>
      </c>
      <c r="B35" s="24" t="s">
        <v>154</v>
      </c>
      <c r="C35" s="24" t="s">
        <v>155</v>
      </c>
      <c r="D35" s="23" t="s">
        <v>156</v>
      </c>
      <c r="E35" s="23" t="s">
        <v>60</v>
      </c>
      <c r="F35" s="23" t="s">
        <v>142</v>
      </c>
      <c r="G35" s="26" t="s">
        <v>5</v>
      </c>
      <c r="H35" s="24" t="s">
        <v>157</v>
      </c>
    </row>
    <row r="36" customFormat="false" ht="15" hidden="false" customHeight="true" outlineLevel="0" collapsed="false">
      <c r="A36" s="23" t="s">
        <v>158</v>
      </c>
      <c r="B36" s="24" t="s">
        <v>159</v>
      </c>
      <c r="C36" s="24" t="s">
        <v>160</v>
      </c>
      <c r="D36" s="23" t="s">
        <v>156</v>
      </c>
      <c r="E36" s="23" t="s">
        <v>84</v>
      </c>
      <c r="F36" s="23" t="s">
        <v>142</v>
      </c>
      <c r="G36" s="26" t="s">
        <v>5</v>
      </c>
      <c r="H36" s="24" t="s">
        <v>161</v>
      </c>
    </row>
    <row r="37" customFormat="false" ht="23.25" hidden="false" customHeight="true" outlineLevel="0" collapsed="false">
      <c r="A37" s="23" t="s">
        <v>162</v>
      </c>
      <c r="B37" s="24" t="s">
        <v>163</v>
      </c>
      <c r="C37" s="24" t="s">
        <v>164</v>
      </c>
      <c r="D37" s="23" t="s">
        <v>59</v>
      </c>
      <c r="E37" s="23" t="s">
        <v>97</v>
      </c>
      <c r="F37" s="23" t="s">
        <v>142</v>
      </c>
      <c r="G37" s="26" t="s">
        <v>5</v>
      </c>
      <c r="H37" s="24" t="s">
        <v>165</v>
      </c>
    </row>
    <row r="38" customFormat="false" ht="23.25" hidden="false" customHeight="true" outlineLevel="0" collapsed="false">
      <c r="A38" s="23" t="s">
        <v>166</v>
      </c>
      <c r="B38" s="24" t="s">
        <v>167</v>
      </c>
      <c r="C38" s="24" t="s">
        <v>168</v>
      </c>
      <c r="D38" s="23" t="s">
        <v>156</v>
      </c>
      <c r="E38" s="23" t="s">
        <v>169</v>
      </c>
      <c r="F38" s="23" t="s">
        <v>170</v>
      </c>
      <c r="G38" s="23" t="s">
        <v>7</v>
      </c>
      <c r="H38" s="24"/>
    </row>
    <row r="39" customFormat="false" ht="23.25" hidden="false" customHeight="true" outlineLevel="0" collapsed="false">
      <c r="A39" s="23" t="s">
        <v>171</v>
      </c>
      <c r="B39" s="24" t="s">
        <v>172</v>
      </c>
      <c r="C39" s="24" t="s">
        <v>173</v>
      </c>
      <c r="D39" s="23" t="s">
        <v>156</v>
      </c>
      <c r="E39" s="23" t="s">
        <v>141</v>
      </c>
      <c r="F39" s="23" t="s">
        <v>170</v>
      </c>
      <c r="G39" s="23" t="s">
        <v>7</v>
      </c>
      <c r="H39" s="24"/>
    </row>
    <row r="40" customFormat="false" ht="24" hidden="false" customHeight="true" outlineLevel="0" collapsed="false">
      <c r="A40" s="19" t="s">
        <v>174</v>
      </c>
      <c r="B40" s="19"/>
      <c r="C40" s="19"/>
      <c r="D40" s="19"/>
      <c r="E40" s="19"/>
      <c r="F40" s="19"/>
      <c r="G40" s="19"/>
      <c r="H40" s="19"/>
    </row>
    <row r="41" customFormat="false" ht="34.5" hidden="false" customHeight="true" outlineLevel="0" collapsed="false">
      <c r="A41" s="23" t="s">
        <v>175</v>
      </c>
      <c r="B41" s="24" t="s">
        <v>176</v>
      </c>
      <c r="C41" s="24" t="s">
        <v>177</v>
      </c>
      <c r="D41" s="25" t="s">
        <v>52</v>
      </c>
      <c r="E41" s="23" t="s">
        <v>178</v>
      </c>
      <c r="F41" s="23" t="s">
        <v>179</v>
      </c>
      <c r="G41" s="23" t="s">
        <v>7</v>
      </c>
      <c r="H41" s="24"/>
    </row>
    <row r="42" customFormat="false" ht="23.25" hidden="false" customHeight="true" outlineLevel="0" collapsed="false">
      <c r="A42" s="23" t="s">
        <v>180</v>
      </c>
      <c r="B42" s="24" t="s">
        <v>181</v>
      </c>
      <c r="C42" s="24" t="s">
        <v>182</v>
      </c>
      <c r="D42" s="27" t="s">
        <v>70</v>
      </c>
      <c r="E42" s="23" t="s">
        <v>178</v>
      </c>
      <c r="F42" s="23" t="s">
        <v>183</v>
      </c>
      <c r="G42" s="23" t="s">
        <v>7</v>
      </c>
      <c r="H42" s="24"/>
    </row>
    <row r="43" customFormat="false" ht="15" hidden="false" customHeight="true" outlineLevel="0" collapsed="false">
      <c r="A43" s="23" t="s">
        <v>184</v>
      </c>
      <c r="B43" s="24" t="s">
        <v>185</v>
      </c>
      <c r="C43" s="24" t="s">
        <v>186</v>
      </c>
      <c r="D43" s="27" t="s">
        <v>70</v>
      </c>
      <c r="E43" s="23" t="s">
        <v>178</v>
      </c>
      <c r="F43" s="23" t="s">
        <v>183</v>
      </c>
      <c r="G43" s="23" t="s">
        <v>7</v>
      </c>
      <c r="H43" s="24"/>
    </row>
    <row r="44" customFormat="false" ht="15" hidden="false" customHeight="true" outlineLevel="0" collapsed="false">
      <c r="A44" s="23" t="s">
        <v>187</v>
      </c>
      <c r="B44" s="24" t="s">
        <v>188</v>
      </c>
      <c r="C44" s="24" t="s">
        <v>186</v>
      </c>
      <c r="D44" s="27" t="s">
        <v>70</v>
      </c>
      <c r="E44" s="23" t="s">
        <v>178</v>
      </c>
      <c r="F44" s="23" t="s">
        <v>189</v>
      </c>
      <c r="G44" s="23" t="s">
        <v>7</v>
      </c>
      <c r="H44" s="24"/>
    </row>
    <row r="45" customFormat="false" ht="15" hidden="false" customHeight="true" outlineLevel="0" collapsed="false">
      <c r="A45" s="23" t="s">
        <v>190</v>
      </c>
      <c r="B45" s="24" t="s">
        <v>191</v>
      </c>
      <c r="C45" s="24" t="s">
        <v>186</v>
      </c>
      <c r="D45" s="27" t="s">
        <v>70</v>
      </c>
      <c r="E45" s="23" t="s">
        <v>178</v>
      </c>
      <c r="F45" s="23" t="s">
        <v>189</v>
      </c>
      <c r="G45" s="23" t="s">
        <v>7</v>
      </c>
      <c r="H45" s="24"/>
    </row>
    <row r="46" customFormat="false" ht="15" hidden="false" customHeight="true" outlineLevel="0" collapsed="false">
      <c r="A46" s="23" t="s">
        <v>192</v>
      </c>
      <c r="B46" s="24" t="s">
        <v>193</v>
      </c>
      <c r="C46" s="24" t="s">
        <v>186</v>
      </c>
      <c r="D46" s="27" t="s">
        <v>70</v>
      </c>
      <c r="E46" s="23" t="s">
        <v>178</v>
      </c>
      <c r="F46" s="23" t="s">
        <v>194</v>
      </c>
      <c r="G46" s="23" t="s">
        <v>7</v>
      </c>
      <c r="H46" s="24"/>
    </row>
    <row r="47" customFormat="false" ht="45.75" hidden="false" customHeight="true" outlineLevel="0" collapsed="false">
      <c r="A47" s="23" t="s">
        <v>195</v>
      </c>
      <c r="B47" s="24" t="s">
        <v>196</v>
      </c>
      <c r="C47" s="24" t="s">
        <v>197</v>
      </c>
      <c r="D47" s="25" t="s">
        <v>52</v>
      </c>
      <c r="E47" s="23" t="s">
        <v>198</v>
      </c>
      <c r="F47" s="23" t="s">
        <v>199</v>
      </c>
      <c r="G47" s="23" t="s">
        <v>7</v>
      </c>
      <c r="H47" s="24"/>
    </row>
    <row r="48" customFormat="false" ht="23.25" hidden="false" customHeight="true" outlineLevel="0" collapsed="false">
      <c r="A48" s="23" t="s">
        <v>200</v>
      </c>
      <c r="B48" s="24" t="s">
        <v>201</v>
      </c>
      <c r="C48" s="24" t="s">
        <v>202</v>
      </c>
      <c r="D48" s="27" t="s">
        <v>70</v>
      </c>
      <c r="E48" s="23" t="s">
        <v>128</v>
      </c>
      <c r="F48" s="23" t="s">
        <v>183</v>
      </c>
      <c r="G48" s="23" t="s">
        <v>7</v>
      </c>
      <c r="H48" s="24"/>
    </row>
    <row r="49" customFormat="false" ht="34.5" hidden="false" customHeight="true" outlineLevel="0" collapsed="false">
      <c r="A49" s="23" t="s">
        <v>203</v>
      </c>
      <c r="B49" s="24" t="s">
        <v>204</v>
      </c>
      <c r="C49" s="24" t="s">
        <v>205</v>
      </c>
      <c r="D49" s="27" t="s">
        <v>70</v>
      </c>
      <c r="E49" s="23" t="s">
        <v>128</v>
      </c>
      <c r="F49" s="23" t="s">
        <v>179</v>
      </c>
      <c r="G49" s="23" t="s">
        <v>7</v>
      </c>
      <c r="H49" s="24"/>
    </row>
    <row r="50" customFormat="false" ht="23.25" hidden="false" customHeight="true" outlineLevel="0" collapsed="false">
      <c r="A50" s="23" t="s">
        <v>206</v>
      </c>
      <c r="B50" s="24" t="s">
        <v>207</v>
      </c>
      <c r="C50" s="24" t="s">
        <v>208</v>
      </c>
      <c r="D50" s="27" t="s">
        <v>70</v>
      </c>
      <c r="E50" s="23" t="s">
        <v>128</v>
      </c>
      <c r="F50" s="23" t="s">
        <v>179</v>
      </c>
      <c r="G50" s="23" t="s">
        <v>7</v>
      </c>
      <c r="H50" s="24"/>
    </row>
    <row r="51" customFormat="false" ht="24" hidden="false" customHeight="true" outlineLevel="0" collapsed="false">
      <c r="A51" s="19" t="s">
        <v>209</v>
      </c>
      <c r="B51" s="19"/>
      <c r="C51" s="19"/>
      <c r="D51" s="19"/>
      <c r="E51" s="19"/>
      <c r="F51" s="19"/>
      <c r="G51" s="19"/>
      <c r="H51" s="19"/>
    </row>
    <row r="52" customFormat="false" ht="23.25" hidden="false" customHeight="true" outlineLevel="0" collapsed="false">
      <c r="A52" s="23" t="s">
        <v>210</v>
      </c>
      <c r="B52" s="24" t="s">
        <v>211</v>
      </c>
      <c r="C52" s="24" t="s">
        <v>212</v>
      </c>
      <c r="D52" s="27" t="s">
        <v>70</v>
      </c>
      <c r="E52" s="23" t="s">
        <v>213</v>
      </c>
      <c r="F52" s="23" t="s">
        <v>214</v>
      </c>
      <c r="G52" s="23" t="s">
        <v>7</v>
      </c>
      <c r="H52" s="24"/>
    </row>
    <row r="53" customFormat="false" ht="15" hidden="false" customHeight="true" outlineLevel="0" collapsed="false">
      <c r="A53" s="23" t="s">
        <v>215</v>
      </c>
      <c r="B53" s="24" t="s">
        <v>216</v>
      </c>
      <c r="C53" s="24" t="s">
        <v>217</v>
      </c>
      <c r="D53" s="27" t="s">
        <v>70</v>
      </c>
      <c r="E53" s="23" t="s">
        <v>213</v>
      </c>
      <c r="F53" s="23" t="s">
        <v>214</v>
      </c>
      <c r="G53" s="23" t="s">
        <v>7</v>
      </c>
      <c r="H53" s="24"/>
    </row>
    <row r="54" customFormat="false" ht="23.25" hidden="false" customHeight="true" outlineLevel="0" collapsed="false">
      <c r="A54" s="23" t="s">
        <v>218</v>
      </c>
      <c r="B54" s="24" t="s">
        <v>219</v>
      </c>
      <c r="C54" s="24" t="s">
        <v>220</v>
      </c>
      <c r="D54" s="27" t="s">
        <v>70</v>
      </c>
      <c r="E54" s="23" t="s">
        <v>213</v>
      </c>
      <c r="F54" s="23" t="s">
        <v>214</v>
      </c>
      <c r="G54" s="23" t="s">
        <v>7</v>
      </c>
      <c r="H54" s="24"/>
    </row>
    <row r="55" customFormat="false" ht="15" hidden="false" customHeight="true" outlineLevel="0" collapsed="false">
      <c r="A55" s="23" t="s">
        <v>221</v>
      </c>
      <c r="B55" s="24" t="s">
        <v>222</v>
      </c>
      <c r="C55" s="24" t="s">
        <v>223</v>
      </c>
      <c r="D55" s="27" t="s">
        <v>70</v>
      </c>
      <c r="E55" s="23" t="s">
        <v>213</v>
      </c>
      <c r="F55" s="23" t="s">
        <v>214</v>
      </c>
      <c r="G55" s="23" t="s">
        <v>7</v>
      </c>
      <c r="H55" s="24"/>
    </row>
    <row r="56" customFormat="false" ht="23.25" hidden="false" customHeight="true" outlineLevel="0" collapsed="false">
      <c r="A56" s="23" t="s">
        <v>224</v>
      </c>
      <c r="B56" s="24" t="s">
        <v>225</v>
      </c>
      <c r="C56" s="24" t="s">
        <v>226</v>
      </c>
      <c r="D56" s="27" t="s">
        <v>70</v>
      </c>
      <c r="E56" s="23" t="s">
        <v>213</v>
      </c>
      <c r="F56" s="23" t="s">
        <v>214</v>
      </c>
      <c r="G56" s="23" t="s">
        <v>7</v>
      </c>
      <c r="H56" s="24"/>
    </row>
    <row r="57" customFormat="false" ht="15" hidden="false" customHeight="true" outlineLevel="0" collapsed="false">
      <c r="A57" s="23" t="s">
        <v>227</v>
      </c>
      <c r="B57" s="24" t="s">
        <v>228</v>
      </c>
      <c r="C57" s="24" t="s">
        <v>229</v>
      </c>
      <c r="D57" s="27" t="s">
        <v>70</v>
      </c>
      <c r="E57" s="23" t="s">
        <v>213</v>
      </c>
      <c r="F57" s="23" t="s">
        <v>214</v>
      </c>
      <c r="G57" s="23" t="s">
        <v>7</v>
      </c>
      <c r="H57" s="24"/>
    </row>
    <row r="58" customFormat="false" ht="23.25" hidden="false" customHeight="true" outlineLevel="0" collapsed="false">
      <c r="A58" s="23" t="s">
        <v>230</v>
      </c>
      <c r="B58" s="24" t="s">
        <v>231</v>
      </c>
      <c r="C58" s="24" t="s">
        <v>232</v>
      </c>
      <c r="D58" s="27" t="s">
        <v>70</v>
      </c>
      <c r="E58" s="23" t="s">
        <v>213</v>
      </c>
      <c r="F58" s="23" t="s">
        <v>214</v>
      </c>
      <c r="G58" s="23" t="s">
        <v>7</v>
      </c>
      <c r="H58" s="24"/>
    </row>
    <row r="59" customFormat="false" ht="15" hidden="false" customHeight="true" outlineLevel="0" collapsed="false">
      <c r="A59" s="23" t="s">
        <v>233</v>
      </c>
      <c r="B59" s="24" t="s">
        <v>234</v>
      </c>
      <c r="C59" s="24" t="s">
        <v>235</v>
      </c>
      <c r="D59" s="23" t="s">
        <v>59</v>
      </c>
      <c r="E59" s="23" t="s">
        <v>213</v>
      </c>
      <c r="F59" s="23" t="s">
        <v>214</v>
      </c>
      <c r="G59" s="23" t="s">
        <v>7</v>
      </c>
      <c r="H59" s="24"/>
    </row>
    <row r="60" customFormat="false" ht="15" hidden="false" customHeight="true" outlineLevel="0" collapsed="false">
      <c r="A60" s="23" t="s">
        <v>236</v>
      </c>
      <c r="B60" s="24" t="s">
        <v>237</v>
      </c>
      <c r="C60" s="24" t="s">
        <v>238</v>
      </c>
      <c r="D60" s="23" t="s">
        <v>59</v>
      </c>
      <c r="E60" s="23" t="s">
        <v>213</v>
      </c>
      <c r="F60" s="23" t="s">
        <v>214</v>
      </c>
      <c r="G60" s="23" t="s">
        <v>7</v>
      </c>
      <c r="H60" s="24"/>
    </row>
    <row r="61" customFormat="false" ht="23.25" hidden="false" customHeight="true" outlineLevel="0" collapsed="false">
      <c r="A61" s="23" t="s">
        <v>239</v>
      </c>
      <c r="B61" s="24" t="s">
        <v>240</v>
      </c>
      <c r="C61" s="24" t="s">
        <v>241</v>
      </c>
      <c r="D61" s="23" t="s">
        <v>59</v>
      </c>
      <c r="E61" s="23" t="s">
        <v>213</v>
      </c>
      <c r="F61" s="23" t="s">
        <v>214</v>
      </c>
      <c r="G61" s="23" t="s">
        <v>7</v>
      </c>
      <c r="H61" s="24"/>
    </row>
    <row r="62" customFormat="false" ht="15" hidden="false" customHeight="true" outlineLevel="0" collapsed="false">
      <c r="A62" s="23" t="s">
        <v>242</v>
      </c>
      <c r="B62" s="24" t="s">
        <v>243</v>
      </c>
      <c r="C62" s="24" t="s">
        <v>244</v>
      </c>
      <c r="D62" s="23" t="s">
        <v>59</v>
      </c>
      <c r="E62" s="23" t="s">
        <v>213</v>
      </c>
      <c r="F62" s="23" t="s">
        <v>214</v>
      </c>
      <c r="G62" s="23" t="s">
        <v>7</v>
      </c>
      <c r="H62" s="24"/>
    </row>
    <row r="63" customFormat="false" ht="23.25" hidden="false" customHeight="true" outlineLevel="0" collapsed="false">
      <c r="A63" s="23" t="s">
        <v>245</v>
      </c>
      <c r="B63" s="24" t="s">
        <v>246</v>
      </c>
      <c r="C63" s="24" t="s">
        <v>247</v>
      </c>
      <c r="D63" s="25" t="s">
        <v>52</v>
      </c>
      <c r="E63" s="23" t="s">
        <v>248</v>
      </c>
      <c r="F63" s="23" t="s">
        <v>249</v>
      </c>
      <c r="G63" s="23" t="s">
        <v>7</v>
      </c>
      <c r="H63" s="24"/>
    </row>
    <row r="64" customFormat="false" ht="24" hidden="false" customHeight="true" outlineLevel="0" collapsed="false">
      <c r="A64" s="19" t="s">
        <v>250</v>
      </c>
      <c r="B64" s="19"/>
      <c r="C64" s="19"/>
      <c r="D64" s="19"/>
      <c r="E64" s="19"/>
      <c r="F64" s="19"/>
      <c r="G64" s="19"/>
      <c r="H64" s="19"/>
    </row>
    <row r="65" customFormat="false" ht="23.25" hidden="false" customHeight="true" outlineLevel="0" collapsed="false">
      <c r="A65" s="23" t="s">
        <v>251</v>
      </c>
      <c r="B65" s="24" t="s">
        <v>252</v>
      </c>
      <c r="C65" s="24" t="s">
        <v>253</v>
      </c>
      <c r="D65" s="23" t="s">
        <v>59</v>
      </c>
      <c r="E65" s="23" t="s">
        <v>101</v>
      </c>
      <c r="F65" s="23" t="s">
        <v>254</v>
      </c>
      <c r="G65" s="23" t="s">
        <v>7</v>
      </c>
      <c r="H65" s="24"/>
    </row>
    <row r="66" customFormat="false" ht="45.75" hidden="false" customHeight="true" outlineLevel="0" collapsed="false">
      <c r="A66" s="23" t="s">
        <v>255</v>
      </c>
      <c r="B66" s="24" t="s">
        <v>256</v>
      </c>
      <c r="C66" s="24" t="s">
        <v>257</v>
      </c>
      <c r="D66" s="23" t="s">
        <v>59</v>
      </c>
      <c r="E66" s="23" t="s">
        <v>41</v>
      </c>
      <c r="F66" s="23" t="s">
        <v>101</v>
      </c>
      <c r="G66" s="23" t="s">
        <v>7</v>
      </c>
      <c r="H66" s="24"/>
    </row>
    <row r="67" customFormat="false" ht="34.5" hidden="false" customHeight="true" outlineLevel="0" collapsed="false">
      <c r="A67" s="23" t="s">
        <v>258</v>
      </c>
      <c r="B67" s="24" t="s">
        <v>259</v>
      </c>
      <c r="C67" s="24" t="s">
        <v>260</v>
      </c>
      <c r="D67" s="27" t="s">
        <v>70</v>
      </c>
      <c r="E67" s="23" t="s">
        <v>41</v>
      </c>
      <c r="F67" s="23" t="s">
        <v>101</v>
      </c>
      <c r="G67" s="23" t="s">
        <v>7</v>
      </c>
      <c r="H67" s="24"/>
    </row>
    <row r="68" customFormat="false" ht="24" hidden="false" customHeight="true" outlineLevel="0" collapsed="false">
      <c r="A68" s="19" t="s">
        <v>261</v>
      </c>
      <c r="B68" s="19"/>
      <c r="C68" s="19"/>
      <c r="D68" s="19"/>
      <c r="E68" s="19"/>
      <c r="F68" s="19"/>
      <c r="G68" s="19"/>
      <c r="H68" s="19"/>
    </row>
    <row r="69" customFormat="false" ht="23.25" hidden="false" customHeight="true" outlineLevel="0" collapsed="false">
      <c r="A69" s="23" t="s">
        <v>262</v>
      </c>
      <c r="B69" s="24" t="s">
        <v>263</v>
      </c>
      <c r="C69" s="24" t="s">
        <v>264</v>
      </c>
      <c r="D69" s="27" t="s">
        <v>70</v>
      </c>
      <c r="E69" s="23" t="s">
        <v>71</v>
      </c>
      <c r="F69" s="23" t="s">
        <v>111</v>
      </c>
      <c r="G69" s="23" t="s">
        <v>7</v>
      </c>
      <c r="H69" s="24"/>
    </row>
    <row r="70" customFormat="false" ht="23.25" hidden="false" customHeight="true" outlineLevel="0" collapsed="false">
      <c r="A70" s="23" t="s">
        <v>265</v>
      </c>
      <c r="B70" s="24" t="s">
        <v>266</v>
      </c>
      <c r="C70" s="24" t="s">
        <v>267</v>
      </c>
      <c r="D70" s="23" t="s">
        <v>59</v>
      </c>
      <c r="E70" s="23" t="s">
        <v>268</v>
      </c>
      <c r="F70" s="23" t="s">
        <v>101</v>
      </c>
      <c r="G70" s="23" t="s">
        <v>7</v>
      </c>
      <c r="H70" s="24"/>
    </row>
    <row r="71" customFormat="false" ht="34.5" hidden="false" customHeight="true" outlineLevel="0" collapsed="false">
      <c r="A71" s="23" t="s">
        <v>269</v>
      </c>
      <c r="B71" s="24" t="s">
        <v>270</v>
      </c>
      <c r="C71" s="24" t="s">
        <v>271</v>
      </c>
      <c r="D71" s="23" t="s">
        <v>59</v>
      </c>
      <c r="E71" s="23" t="s">
        <v>71</v>
      </c>
      <c r="F71" s="23" t="s">
        <v>111</v>
      </c>
      <c r="G71" s="23" t="s">
        <v>7</v>
      </c>
      <c r="H71" s="24"/>
    </row>
    <row r="72" customFormat="false" ht="23.25" hidden="false" customHeight="true" outlineLevel="0" collapsed="false">
      <c r="A72" s="23" t="s">
        <v>272</v>
      </c>
      <c r="B72" s="24" t="s">
        <v>273</v>
      </c>
      <c r="C72" s="24" t="s">
        <v>274</v>
      </c>
      <c r="D72" s="23" t="s">
        <v>59</v>
      </c>
      <c r="E72" s="23" t="s">
        <v>60</v>
      </c>
      <c r="F72" s="23" t="s">
        <v>275</v>
      </c>
      <c r="G72" s="23" t="s">
        <v>7</v>
      </c>
      <c r="H72" s="24"/>
    </row>
  </sheetData>
  <autoFilter ref="A5:H72"/>
  <mergeCells count="8">
    <mergeCell ref="A6:H6"/>
    <mergeCell ref="A9:H9"/>
    <mergeCell ref="A17:H17"/>
    <mergeCell ref="A24:H24"/>
    <mergeCell ref="A40:H40"/>
    <mergeCell ref="A51:H51"/>
    <mergeCell ref="A64:H64"/>
    <mergeCell ref="A68:H68"/>
  </mergeCells>
  <conditionalFormatting sqref="G6:G72">
    <cfRule type="cellIs" priority="2" operator="equal" aboveAverage="0" equalAverage="0" bottom="0" percent="0" rank="0" text="" dxfId="10">
      <formula>"Готово"</formula>
    </cfRule>
    <cfRule type="cellIs" priority="3" operator="equal" aboveAverage="0" equalAverage="0" bottom="0" percent="0" rank="0" text="" dxfId="11">
      <formula>"В работе"</formula>
    </cfRule>
  </conditionalFormatting>
  <dataValidations count="1">
    <dataValidation allowBlank="true" errorStyle="stop" operator="between" showDropDown="false" showErrorMessage="false" showInputMessage="false" sqref="G6:G72" type="list">
      <formula1>"Не начато,В работе,Готово,Отменено,Отложено"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2026-08-15T08:43:21Z</dcterms:created>
  <dc:creator>openpyxl</dc:creator>
  <dc:description/>
  <dc:language>en-US</dc:language>
  <cp:lastModifiedBy/>
  <dcterms:modified xsi:type="dcterms:W3CDTF">2026-08-15T12:46:58Z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